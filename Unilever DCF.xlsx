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erkewlani/Desktop/"/>
    </mc:Choice>
  </mc:AlternateContent>
  <xr:revisionPtr revIDLastSave="0" documentId="13_ncr:1_{8D2FD325-6CCA-CF4F-9B7B-3346F1B570F1}" xr6:coauthVersionLast="47" xr6:coauthVersionMax="47" xr10:uidLastSave="{00000000-0000-0000-0000-000000000000}"/>
  <bookViews>
    <workbookView xWindow="0" yWindow="500" windowWidth="28800" windowHeight="16100" xr2:uid="{70AAE8D3-26DE-A74A-AD60-33ECB29BAD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9" i="1" l="1"/>
  <c r="J29" i="1"/>
  <c r="I29" i="1"/>
  <c r="H29" i="1"/>
  <c r="G29" i="1"/>
  <c r="F28" i="1"/>
  <c r="G28" i="1" s="1"/>
  <c r="E28" i="1"/>
  <c r="D28" i="1"/>
  <c r="C28" i="1"/>
  <c r="B28" i="1"/>
  <c r="K10" i="1"/>
  <c r="J10" i="1"/>
  <c r="I10" i="1"/>
  <c r="H10" i="1"/>
  <c r="G10" i="1"/>
  <c r="C9" i="1"/>
  <c r="D9" i="1"/>
  <c r="E9" i="1"/>
  <c r="F9" i="1"/>
  <c r="G9" i="1" s="1"/>
  <c r="B9" i="1"/>
  <c r="G11" i="1" l="1"/>
  <c r="H9" i="1"/>
  <c r="H28" i="1"/>
  <c r="G30" i="1"/>
  <c r="I9" i="1" l="1"/>
  <c r="H11" i="1"/>
  <c r="H30" i="1"/>
  <c r="I28" i="1"/>
  <c r="J9" i="1" l="1"/>
  <c r="I11" i="1"/>
  <c r="J28" i="1"/>
  <c r="I30" i="1"/>
  <c r="K9" i="1" l="1"/>
  <c r="J11" i="1"/>
  <c r="J30" i="1"/>
  <c r="K28" i="1"/>
  <c r="G32" i="1" s="1"/>
  <c r="G13" i="1" l="1"/>
  <c r="G14" i="1" s="1"/>
  <c r="K11" i="1"/>
  <c r="G16" i="1" s="1"/>
  <c r="G17" i="1" s="1"/>
  <c r="G18" i="1" s="1"/>
  <c r="G33" i="1"/>
  <c r="K30" i="1"/>
  <c r="G35" i="1" l="1"/>
  <c r="G36" i="1" s="1"/>
  <c r="G37" i="1" s="1"/>
</calcChain>
</file>

<file path=xl/sharedStrings.xml><?xml version="1.0" encoding="utf-8"?>
<sst xmlns="http://schemas.openxmlformats.org/spreadsheetml/2006/main" count="26" uniqueCount="14">
  <si>
    <t xml:space="preserve">Revenue </t>
  </si>
  <si>
    <t>EBIT</t>
  </si>
  <si>
    <t>Tax Rate</t>
  </si>
  <si>
    <t>D&amp;A</t>
  </si>
  <si>
    <t>CapEx</t>
  </si>
  <si>
    <t>Discount Factor</t>
  </si>
  <si>
    <t>PV of FCF</t>
  </si>
  <si>
    <t>Terminal Value</t>
  </si>
  <si>
    <t>PV of Terminal Value</t>
  </si>
  <si>
    <t xml:space="preserve">Enterprise Value </t>
  </si>
  <si>
    <t>Equity Value</t>
  </si>
  <si>
    <t>Value Per Share</t>
  </si>
  <si>
    <t>Discounting  factor  8%</t>
  </si>
  <si>
    <t>Discounting  factor 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</si>
</sst>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0F6E-CE29-784B-B43B-3572070E174C}">
  <dimension ref="A1:K37"/>
  <sheetViews>
    <sheetView tabSelected="1" zoomScale="98" workbookViewId="0">
      <selection activeCell="O9" sqref="O9"/>
    </sheetView>
  </sheetViews>
  <sheetFormatPr baseColWidth="10" defaultRowHeight="16" x14ac:dyDescent="0.2"/>
  <cols>
    <col min="1" max="1" width="19.6640625" bestFit="1" customWidth="1"/>
  </cols>
  <sheetData>
    <row r="1" spans="1:11" x14ac:dyDescent="0.2">
      <c r="A1" s="4" t="s">
        <v>13</v>
      </c>
    </row>
    <row r="2" spans="1:11" x14ac:dyDescent="0.2">
      <c r="A2" s="1"/>
      <c r="B2" s="1">
        <v>2021</v>
      </c>
      <c r="C2" s="1">
        <v>2022</v>
      </c>
      <c r="D2" s="1">
        <v>2023</v>
      </c>
      <c r="E2" s="1">
        <v>2024</v>
      </c>
      <c r="F2" s="1">
        <v>2025</v>
      </c>
      <c r="G2" s="1">
        <v>2026</v>
      </c>
      <c r="H2" s="1">
        <v>2027</v>
      </c>
      <c r="I2" s="1">
        <v>2028</v>
      </c>
      <c r="J2" s="1">
        <v>2029</v>
      </c>
      <c r="K2" s="1">
        <v>2030</v>
      </c>
    </row>
    <row r="3" spans="1:1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1" t="s">
        <v>0</v>
      </c>
      <c r="B4" s="2">
        <v>52444</v>
      </c>
      <c r="C4" s="2">
        <v>60073</v>
      </c>
      <c r="D4" s="2">
        <v>51680</v>
      </c>
      <c r="E4" s="2">
        <v>52479</v>
      </c>
      <c r="F4" s="2">
        <v>50503</v>
      </c>
      <c r="G4" s="1"/>
      <c r="H4" s="1"/>
      <c r="I4" s="1"/>
      <c r="J4" s="1"/>
      <c r="K4" s="1"/>
    </row>
    <row r="5" spans="1:11" x14ac:dyDescent="0.2">
      <c r="A5" s="1" t="s">
        <v>1</v>
      </c>
      <c r="B5" s="2">
        <v>8702</v>
      </c>
      <c r="C5" s="2">
        <v>10755</v>
      </c>
      <c r="D5" s="2">
        <v>8998</v>
      </c>
      <c r="E5" s="2">
        <v>8829</v>
      </c>
      <c r="F5" s="2">
        <v>9037</v>
      </c>
      <c r="G5" s="1"/>
      <c r="H5" s="1"/>
      <c r="I5" s="1"/>
      <c r="J5" s="1"/>
      <c r="K5" s="1"/>
    </row>
    <row r="6" spans="1:11" x14ac:dyDescent="0.2">
      <c r="A6" s="1" t="s">
        <v>2</v>
      </c>
      <c r="B6" s="3">
        <v>0.22620000000000001</v>
      </c>
      <c r="C6" s="3">
        <v>0.2001</v>
      </c>
      <c r="D6" s="3">
        <v>0.23069999999999999</v>
      </c>
      <c r="E6" s="3">
        <v>0.27860000000000001</v>
      </c>
      <c r="F6" s="3">
        <v>0.28539999999999999</v>
      </c>
      <c r="G6" s="1"/>
      <c r="H6" s="1"/>
      <c r="I6" s="1"/>
      <c r="J6" s="1"/>
      <c r="K6" s="1"/>
    </row>
    <row r="7" spans="1:11" x14ac:dyDescent="0.2">
      <c r="A7" s="1" t="s">
        <v>3</v>
      </c>
      <c r="B7" s="2">
        <v>1763</v>
      </c>
      <c r="C7" s="2">
        <v>1946</v>
      </c>
      <c r="D7" s="2">
        <v>1148</v>
      </c>
      <c r="E7" s="2">
        <v>1370</v>
      </c>
      <c r="F7" s="2">
        <v>1353</v>
      </c>
      <c r="G7" s="1"/>
      <c r="H7" s="1"/>
      <c r="I7" s="1"/>
      <c r="J7" s="1"/>
      <c r="K7" s="1"/>
    </row>
    <row r="8" spans="1:11" x14ac:dyDescent="0.2">
      <c r="A8" s="1" t="s">
        <v>4</v>
      </c>
      <c r="B8" s="2">
        <v>1108</v>
      </c>
      <c r="C8" s="2">
        <v>1456</v>
      </c>
      <c r="D8" s="2">
        <v>1194</v>
      </c>
      <c r="E8" s="2">
        <v>1381</v>
      </c>
      <c r="F8" s="2">
        <v>1417</v>
      </c>
      <c r="G8" s="1"/>
      <c r="H8" s="1"/>
      <c r="I8" s="1"/>
      <c r="J8" s="1"/>
      <c r="K8" s="1"/>
    </row>
    <row r="9" spans="1:11" x14ac:dyDescent="0.2">
      <c r="A9" s="1"/>
      <c r="B9" s="1">
        <f>B5*(1-B6)+B7-B8</f>
        <v>7388.6075999999994</v>
      </c>
      <c r="C9" s="1">
        <f t="shared" ref="C9:F9" si="0">C5*(1-C6)+C7-C8</f>
        <v>9092.924500000001</v>
      </c>
      <c r="D9" s="1">
        <f t="shared" si="0"/>
        <v>6876.1614</v>
      </c>
      <c r="E9" s="1">
        <f t="shared" si="0"/>
        <v>6358.2406000000001</v>
      </c>
      <c r="F9" s="1">
        <f t="shared" si="0"/>
        <v>6393.8402000000006</v>
      </c>
      <c r="G9" s="1">
        <f>F9*1.04</f>
        <v>6649.5938080000005</v>
      </c>
      <c r="H9" s="1">
        <f t="shared" ref="H9:K9" si="1">G9*1.04</f>
        <v>6915.5775603200009</v>
      </c>
      <c r="I9" s="1">
        <f t="shared" si="1"/>
        <v>7192.200662732801</v>
      </c>
      <c r="J9" s="1">
        <f t="shared" si="1"/>
        <v>7479.8886892421133</v>
      </c>
      <c r="K9" s="1">
        <f t="shared" si="1"/>
        <v>7779.0842368117983</v>
      </c>
    </row>
    <row r="10" spans="1:11" x14ac:dyDescent="0.2">
      <c r="A10" s="1" t="s">
        <v>5</v>
      </c>
      <c r="B10" s="1"/>
      <c r="C10" s="1"/>
      <c r="D10" s="1"/>
      <c r="E10" s="1"/>
      <c r="F10" s="1"/>
      <c r="G10" s="1">
        <f>1/(1.07^1)</f>
        <v>0.93457943925233644</v>
      </c>
      <c r="H10" s="1">
        <f>1/(1.07^2)</f>
        <v>0.87343872827321156</v>
      </c>
      <c r="I10" s="1">
        <f>1/(1.07^3)</f>
        <v>0.81629787689085187</v>
      </c>
      <c r="J10" s="1">
        <f>1/(1.07^4)</f>
        <v>0.7628952120475252</v>
      </c>
      <c r="K10" s="1">
        <f>1/(1.07^5)</f>
        <v>0.71298617948366838</v>
      </c>
    </row>
    <row r="11" spans="1:11" x14ac:dyDescent="0.2">
      <c r="A11" s="1" t="s">
        <v>6</v>
      </c>
      <c r="B11" s="1"/>
      <c r="C11" s="1"/>
      <c r="D11" s="1"/>
      <c r="E11" s="1"/>
      <c r="F11" s="1"/>
      <c r="G11" s="1">
        <f>G9*G10</f>
        <v>6214.5736523364494</v>
      </c>
      <c r="H11" s="1">
        <f t="shared" ref="H11:K11" si="2">H9*H10</f>
        <v>6040.3332695606605</v>
      </c>
      <c r="I11" s="1">
        <f t="shared" si="2"/>
        <v>5870.9781311617635</v>
      </c>
      <c r="J11" s="1">
        <f t="shared" si="2"/>
        <v>5706.3712676712476</v>
      </c>
      <c r="K11" s="1">
        <f t="shared" si="2"/>
        <v>5546.3795498860727</v>
      </c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1" t="s">
        <v>7</v>
      </c>
      <c r="B13" s="1"/>
      <c r="C13" s="1"/>
      <c r="D13" s="1"/>
      <c r="E13" s="1"/>
      <c r="F13" s="1"/>
      <c r="G13" s="1">
        <f>(K9*1.025)/(0.07-0.025)</f>
        <v>177190.25206071313</v>
      </c>
      <c r="H13" s="1"/>
      <c r="I13" s="1"/>
      <c r="J13" s="1"/>
      <c r="K13" s="1"/>
    </row>
    <row r="14" spans="1:11" x14ac:dyDescent="0.2">
      <c r="A14" s="1" t="s">
        <v>8</v>
      </c>
      <c r="B14" s="1"/>
      <c r="C14" s="1"/>
      <c r="D14" s="1"/>
      <c r="E14" s="1"/>
      <c r="F14" s="1"/>
      <c r="G14" s="1">
        <f>G13*K10</f>
        <v>126334.20085851605</v>
      </c>
      <c r="H14" s="1"/>
      <c r="I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" t="s">
        <v>9</v>
      </c>
      <c r="B16" s="1"/>
      <c r="C16" s="1"/>
      <c r="D16" s="1"/>
      <c r="E16" s="1"/>
      <c r="F16" s="1"/>
      <c r="G16" s="1">
        <f>SUM(G11:K11)+G14</f>
        <v>155712.83672913225</v>
      </c>
      <c r="H16" s="1"/>
      <c r="I16" s="1"/>
      <c r="J16" s="1"/>
      <c r="K16" s="1"/>
    </row>
    <row r="17" spans="1:11" x14ac:dyDescent="0.2">
      <c r="A17" s="1" t="s">
        <v>10</v>
      </c>
      <c r="B17" s="1"/>
      <c r="C17" s="1"/>
      <c r="D17" s="1"/>
      <c r="E17" s="1"/>
      <c r="F17" s="1"/>
      <c r="G17" s="1">
        <f>G16-28278+5062</f>
        <v>132496.83672913225</v>
      </c>
      <c r="H17" s="1"/>
      <c r="I17" s="1"/>
      <c r="J17" s="1"/>
      <c r="K17" s="1"/>
    </row>
    <row r="18" spans="1:11" x14ac:dyDescent="0.2">
      <c r="A18" s="1" t="s">
        <v>11</v>
      </c>
      <c r="B18" s="1"/>
      <c r="C18" s="1"/>
      <c r="D18" s="1"/>
      <c r="E18" s="1"/>
      <c r="F18" s="1"/>
      <c r="G18" s="1">
        <f>G17/2195</f>
        <v>60.363023566802845</v>
      </c>
      <c r="H18" s="1"/>
      <c r="I18" s="1"/>
      <c r="J18" s="1"/>
      <c r="K18" s="1"/>
    </row>
    <row r="21" spans="1:11" x14ac:dyDescent="0.2">
      <c r="A21" s="4" t="s">
        <v>12</v>
      </c>
    </row>
    <row r="22" spans="1:11" x14ac:dyDescent="0.2">
      <c r="A22" s="1"/>
      <c r="B22" s="1">
        <v>2021</v>
      </c>
      <c r="C22" s="1">
        <v>2022</v>
      </c>
      <c r="D22" s="1">
        <v>2023</v>
      </c>
      <c r="E22" s="1">
        <v>2024</v>
      </c>
      <c r="F22" s="1">
        <v>2025</v>
      </c>
      <c r="G22" s="1">
        <v>2026</v>
      </c>
      <c r="H22" s="1">
        <v>2027</v>
      </c>
      <c r="I22" s="1">
        <v>2028</v>
      </c>
      <c r="J22" s="1">
        <v>2029</v>
      </c>
      <c r="K22" s="1">
        <v>2030</v>
      </c>
    </row>
    <row r="23" spans="1:11" x14ac:dyDescent="0.2">
      <c r="A23" s="1" t="s">
        <v>0</v>
      </c>
      <c r="B23" s="2">
        <v>52444</v>
      </c>
      <c r="C23" s="2">
        <v>60073</v>
      </c>
      <c r="D23" s="2">
        <v>51680</v>
      </c>
      <c r="E23" s="2">
        <v>52479</v>
      </c>
      <c r="F23" s="2">
        <v>50503</v>
      </c>
      <c r="G23" s="1"/>
      <c r="H23" s="1"/>
      <c r="I23" s="1"/>
      <c r="J23" s="1"/>
      <c r="K23" s="1"/>
    </row>
    <row r="24" spans="1:11" x14ac:dyDescent="0.2">
      <c r="A24" s="1" t="s">
        <v>1</v>
      </c>
      <c r="B24" s="2">
        <v>8702</v>
      </c>
      <c r="C24" s="2">
        <v>10755</v>
      </c>
      <c r="D24" s="2">
        <v>8998</v>
      </c>
      <c r="E24" s="2">
        <v>8829</v>
      </c>
      <c r="F24" s="2">
        <v>9037</v>
      </c>
      <c r="G24" s="1"/>
      <c r="H24" s="1"/>
      <c r="I24" s="1"/>
      <c r="J24" s="1"/>
      <c r="K24" s="1"/>
    </row>
    <row r="25" spans="1:11" x14ac:dyDescent="0.2">
      <c r="A25" s="1" t="s">
        <v>2</v>
      </c>
      <c r="B25" s="3">
        <v>0.22620000000000001</v>
      </c>
      <c r="C25" s="3">
        <v>0.2001</v>
      </c>
      <c r="D25" s="3">
        <v>0.23069999999999999</v>
      </c>
      <c r="E25" s="3">
        <v>0.27860000000000001</v>
      </c>
      <c r="F25" s="3">
        <v>0.28539999999999999</v>
      </c>
      <c r="G25" s="1"/>
      <c r="H25" s="1"/>
      <c r="I25" s="1"/>
      <c r="J25" s="1"/>
      <c r="K25" s="1"/>
    </row>
    <row r="26" spans="1:11" x14ac:dyDescent="0.2">
      <c r="A26" s="1" t="s">
        <v>3</v>
      </c>
      <c r="B26" s="2">
        <v>1763</v>
      </c>
      <c r="C26" s="2">
        <v>1946</v>
      </c>
      <c r="D26" s="2">
        <v>1148</v>
      </c>
      <c r="E26" s="2">
        <v>1370</v>
      </c>
      <c r="F26" s="2">
        <v>1353</v>
      </c>
      <c r="G26" s="1"/>
      <c r="H26" s="1"/>
      <c r="I26" s="1"/>
      <c r="J26" s="1"/>
      <c r="K26" s="1"/>
    </row>
    <row r="27" spans="1:11" x14ac:dyDescent="0.2">
      <c r="A27" s="1" t="s">
        <v>4</v>
      </c>
      <c r="B27" s="2">
        <v>1108</v>
      </c>
      <c r="C27" s="2">
        <v>1456</v>
      </c>
      <c r="D27" s="2">
        <v>1194</v>
      </c>
      <c r="E27" s="2">
        <v>1381</v>
      </c>
      <c r="F27" s="2">
        <v>1417</v>
      </c>
      <c r="G27" s="1"/>
      <c r="H27" s="1"/>
      <c r="I27" s="1"/>
      <c r="J27" s="1"/>
      <c r="K27" s="1"/>
    </row>
    <row r="28" spans="1:11" x14ac:dyDescent="0.2">
      <c r="A28" s="1"/>
      <c r="B28" s="1">
        <f>B24*(1-B25)+B26-B27</f>
        <v>7388.6075999999994</v>
      </c>
      <c r="C28" s="1">
        <f t="shared" ref="C28" si="3">C24*(1-C25)+C26-C27</f>
        <v>9092.924500000001</v>
      </c>
      <c r="D28" s="1">
        <f t="shared" ref="D28" si="4">D24*(1-D25)+D26-D27</f>
        <v>6876.1614</v>
      </c>
      <c r="E28" s="1">
        <f t="shared" ref="E28" si="5">E24*(1-E25)+E26-E27</f>
        <v>6358.2406000000001</v>
      </c>
      <c r="F28" s="1">
        <f t="shared" ref="F28" si="6">F24*(1-F25)+F26-F27</f>
        <v>6393.8402000000006</v>
      </c>
      <c r="G28" s="1">
        <f>F28*1.04</f>
        <v>6649.5938080000005</v>
      </c>
      <c r="H28" s="1">
        <f t="shared" ref="H28:K28" si="7">G28*1.04</f>
        <v>6915.5775603200009</v>
      </c>
      <c r="I28" s="1">
        <f t="shared" si="7"/>
        <v>7192.200662732801</v>
      </c>
      <c r="J28" s="1">
        <f t="shared" si="7"/>
        <v>7479.8886892421133</v>
      </c>
      <c r="K28" s="1">
        <f t="shared" si="7"/>
        <v>7779.0842368117983</v>
      </c>
    </row>
    <row r="29" spans="1:11" x14ac:dyDescent="0.2">
      <c r="A29" s="1" t="s">
        <v>5</v>
      </c>
      <c r="B29" s="1"/>
      <c r="C29" s="1"/>
      <c r="D29" s="1"/>
      <c r="E29" s="1"/>
      <c r="F29" s="1"/>
      <c r="G29" s="1">
        <f>1/(1.07^1)</f>
        <v>0.93457943925233644</v>
      </c>
      <c r="H29" s="1">
        <f>1/(1.08^2)</f>
        <v>0.85733882030178321</v>
      </c>
      <c r="I29" s="1">
        <f>1/(1.08^3)</f>
        <v>0.79383224102016958</v>
      </c>
      <c r="J29" s="1">
        <f>1/(1.08^4)</f>
        <v>0.73502985279645328</v>
      </c>
      <c r="K29" s="1">
        <f>1/(1.08^5)</f>
        <v>0.68058319703375303</v>
      </c>
    </row>
    <row r="30" spans="1:11" x14ac:dyDescent="0.2">
      <c r="A30" s="1" t="s">
        <v>6</v>
      </c>
      <c r="B30" s="1"/>
      <c r="C30" s="1"/>
      <c r="D30" s="1"/>
      <c r="E30" s="1"/>
      <c r="F30" s="1"/>
      <c r="G30" s="1">
        <f>G28*G29</f>
        <v>6214.5736523364494</v>
      </c>
      <c r="H30" s="1">
        <f t="shared" ref="H30" si="8">H28*H29</f>
        <v>5928.9931072702338</v>
      </c>
      <c r="I30" s="1">
        <f t="shared" ref="I30" si="9">I28*I29</f>
        <v>5709.4007699639287</v>
      </c>
      <c r="J30" s="1">
        <f t="shared" ref="J30" si="10">J28*J29</f>
        <v>5497.9414821874861</v>
      </c>
      <c r="K30" s="1">
        <f t="shared" ref="K30" si="11">K28*K29</f>
        <v>5294.3140198842466</v>
      </c>
    </row>
    <row r="31" spans="1:1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1" t="s">
        <v>7</v>
      </c>
      <c r="B32" s="1"/>
      <c r="C32" s="1"/>
      <c r="D32" s="1"/>
      <c r="E32" s="1"/>
      <c r="F32" s="1"/>
      <c r="G32" s="1">
        <f>(K28*1.025)/(0.08-0.025)</f>
        <v>144973.84259512895</v>
      </c>
      <c r="H32" s="1"/>
      <c r="I32" s="1"/>
      <c r="J32" s="1"/>
      <c r="K32" s="1"/>
    </row>
    <row r="33" spans="1:11" x14ac:dyDescent="0.2">
      <c r="A33" s="1" t="s">
        <v>8</v>
      </c>
      <c r="B33" s="1"/>
      <c r="C33" s="1"/>
      <c r="D33" s="1"/>
      <c r="E33" s="1"/>
      <c r="F33" s="1"/>
      <c r="G33" s="1">
        <f>G32*K29</f>
        <v>98666.761279660946</v>
      </c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 t="s">
        <v>9</v>
      </c>
      <c r="B35" s="1"/>
      <c r="C35" s="1"/>
      <c r="D35" s="1"/>
      <c r="E35" s="1"/>
      <c r="F35" s="1"/>
      <c r="G35" s="1">
        <f>SUM(G30:K30)+G33</f>
        <v>127311.9843113033</v>
      </c>
      <c r="H35" s="1"/>
      <c r="I35" s="1"/>
      <c r="J35" s="1"/>
      <c r="K35" s="1"/>
    </row>
    <row r="36" spans="1:11" x14ac:dyDescent="0.2">
      <c r="A36" s="1" t="s">
        <v>10</v>
      </c>
      <c r="B36" s="1"/>
      <c r="C36" s="1"/>
      <c r="D36" s="1"/>
      <c r="E36" s="1"/>
      <c r="F36" s="1"/>
      <c r="G36" s="1">
        <f>G35-28278+5062</f>
        <v>104095.9843113033</v>
      </c>
      <c r="H36" s="1"/>
      <c r="I36" s="1"/>
      <c r="J36" s="1"/>
      <c r="K36" s="1"/>
    </row>
    <row r="37" spans="1:11" x14ac:dyDescent="0.2">
      <c r="A37" s="1" t="s">
        <v>11</v>
      </c>
      <c r="B37" s="1"/>
      <c r="C37" s="1"/>
      <c r="D37" s="1"/>
      <c r="E37" s="1"/>
      <c r="F37" s="1"/>
      <c r="G37" s="1">
        <f>G36/2195</f>
        <v>47.424138638406973</v>
      </c>
      <c r="H37" s="1"/>
      <c r="I37" s="1"/>
      <c r="J37" s="1"/>
      <c r="K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Kewlani (hsk2g25)</dc:creator>
  <cp:lastModifiedBy>Heer Kewlani (hsk2g25)</cp:lastModifiedBy>
  <dcterms:created xsi:type="dcterms:W3CDTF">2026-06-25T15:31:23Z</dcterms:created>
  <dcterms:modified xsi:type="dcterms:W3CDTF">2026-06-25T15:51:15Z</dcterms:modified>
</cp:coreProperties>
</file>